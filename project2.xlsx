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 activeTab="1"/>
  </bookViews>
  <sheets>
    <sheet name="project1" sheetId="1" r:id="rId1"/>
    <sheet name="Sheet2" sheetId="5" r:id="rId2"/>
    <sheet name="Sheet1" sheetId="4" r:id="rId3"/>
    <sheet name="Sheet4" sheetId="7" r:id="rId4"/>
    <sheet name="Sheet3" sheetId="6" r:id="rId5"/>
    <sheet name="Sheet5" sheetId="8" r:id="rId6"/>
    <sheet name="Sheet6" sheetId="9" r:id="rId7"/>
    <sheet name="project2" sheetId="2" r:id="rId8"/>
    <sheet name="names" sheetId="3" r:id="rId9"/>
  </sheets>
  <definedNames>
    <definedName name="_xlnm._FilterDatabase" localSheetId="0" hidden="1">project1!$A$4:$J$7</definedName>
  </definedNames>
  <calcPr calcId="144525"/>
  <pivotCaches>
    <pivotCache cacheId="0" r:id="rId10"/>
  </pivotCaches>
</workbook>
</file>

<file path=xl/calcChain.xml><?xml version="1.0" encoding="utf-8"?>
<calcChain xmlns="http://schemas.openxmlformats.org/spreadsheetml/2006/main">
  <c r="J2" i="7" l="1"/>
  <c r="J3" i="7"/>
  <c r="J4" i="7"/>
  <c r="J5" i="7"/>
  <c r="J6" i="1" l="1"/>
  <c r="J7" i="1"/>
  <c r="J5" i="1"/>
  <c r="I6" i="1"/>
  <c r="I7" i="1"/>
  <c r="I5" i="1"/>
  <c r="H6" i="1"/>
  <c r="H7" i="1"/>
  <c r="H5" i="1"/>
</calcChain>
</file>

<file path=xl/comments1.xml><?xml version="1.0" encoding="utf-8"?>
<comments xmlns="http://schemas.openxmlformats.org/spreadsheetml/2006/main">
  <authors>
    <author>WIN 10 PRO</author>
  </authors>
  <commentList>
    <comment ref="I4" authorId="0">
      <text>
        <r>
          <rPr>
            <b/>
            <sz val="9"/>
            <color indexed="81"/>
            <rFont val="Tahoma"/>
            <family val="2"/>
          </rPr>
          <t>update:
email is unavailable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<sst xmlns="http://schemas.openxmlformats.org/spreadsheetml/2006/main" count="158" uniqueCount="50">
  <si>
    <t>S.NO</t>
  </si>
  <si>
    <t>SAL-JAN</t>
  </si>
  <si>
    <t>SAL-FED</t>
  </si>
  <si>
    <t>SAL-MAR</t>
  </si>
  <si>
    <t>LAST NAME</t>
  </si>
  <si>
    <t>FIRST NAME</t>
  </si>
  <si>
    <t>SAL-TOTAL</t>
  </si>
  <si>
    <t>SAL-AVG</t>
  </si>
  <si>
    <t>FULL NAME</t>
  </si>
  <si>
    <t>SYED</t>
  </si>
  <si>
    <t>IBRAHIM</t>
  </si>
  <si>
    <t>DOJ</t>
  </si>
  <si>
    <t>SUHAIL</t>
  </si>
  <si>
    <t>ZAINUL</t>
  </si>
  <si>
    <t>Employ Salary Description</t>
  </si>
  <si>
    <t>NAME</t>
  </si>
  <si>
    <t>AGE</t>
  </si>
  <si>
    <t>SECTION</t>
  </si>
  <si>
    <t>MID 1</t>
  </si>
  <si>
    <t>MID 2</t>
  </si>
  <si>
    <t>FINALS</t>
  </si>
  <si>
    <t>GENDER</t>
  </si>
  <si>
    <t>GMAILS</t>
  </si>
  <si>
    <t>ATHAUR</t>
  </si>
  <si>
    <t>ADNAN</t>
  </si>
  <si>
    <t>AYAN</t>
  </si>
  <si>
    <t>ASLAM</t>
  </si>
  <si>
    <t>AFROZ</t>
  </si>
  <si>
    <t>F</t>
  </si>
  <si>
    <t>M</t>
  </si>
  <si>
    <t>A</t>
  </si>
  <si>
    <t>B</t>
  </si>
  <si>
    <t>ibrahim@gmial.com</t>
  </si>
  <si>
    <t>suhail@gmial.com</t>
  </si>
  <si>
    <t>zain@gmial.com</t>
  </si>
  <si>
    <t>athaur@gmial.com</t>
  </si>
  <si>
    <t>adnan@gmial.com</t>
  </si>
  <si>
    <t>ayan@gmial.com</t>
  </si>
  <si>
    <t>aslam@gmial.com</t>
  </si>
  <si>
    <t>afroz@gmial.com</t>
  </si>
  <si>
    <t>Sum of FINALS</t>
  </si>
  <si>
    <t>Row Labels</t>
  </si>
  <si>
    <t>Grand Total</t>
  </si>
  <si>
    <t>Column Labels</t>
  </si>
  <si>
    <t>Column1</t>
  </si>
  <si>
    <t>ibrahim</t>
  </si>
  <si>
    <t>gmial.com</t>
  </si>
  <si>
    <t>aslam</t>
  </si>
  <si>
    <t>zain</t>
  </si>
  <si>
    <t>adnan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</si>
</sst>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164" fontId="0" fillId="0" borderId="0" xfId="0" applyNumberFormat="1" applyAlignment="1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3" fillId="0" borderId="4" xfId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3" fillId="0" borderId="9" xfId="1" applyBorder="1" applyAlignment="1">
      <alignment horizontal="center"/>
    </xf>
    <xf numFmtId="0" fontId="1" fillId="3" borderId="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3" borderId="2" xfId="1" applyFill="1" applyBorder="1" applyAlignment="1">
      <alignment horizontal="center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4" borderId="10" xfId="0" applyFont="1" applyFill="1" applyBorder="1"/>
    <xf numFmtId="0" fontId="0" fillId="0" borderId="10" xfId="0" applyFont="1" applyBorder="1"/>
    <xf numFmtId="0" fontId="2" fillId="0" borderId="0" xfId="0" applyFont="1" applyAlignment="1">
      <alignment horizontal="center" vertical="center"/>
    </xf>
    <xf numFmtId="0" fontId="3" fillId="2" borderId="1" xfId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3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[project2.xlsx]Sheet5!PivotTable1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Sheet5!$A$1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Sheet5!$A$2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Sheet5!$A$2</c:f>
              <c:numCache>
                <c:formatCode>General</c:formatCode>
                <c:ptCount val="1"/>
                <c:pt idx="0">
                  <c:v>688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467456"/>
        <c:axId val="146588032"/>
      </c:barChart>
      <c:catAx>
        <c:axId val="146467456"/>
        <c:scaling>
          <c:orientation val="minMax"/>
        </c:scaling>
        <c:delete val="0"/>
        <c:axPos val="b"/>
        <c:majorTickMark val="out"/>
        <c:minorTickMark val="none"/>
        <c:tickLblPos val="nextTo"/>
        <c:crossAx val="146588032"/>
        <c:crosses val="autoZero"/>
        <c:auto val="1"/>
        <c:lblAlgn val="ctr"/>
        <c:lblOffset val="100"/>
        <c:noMultiLvlLbl val="0"/>
      </c:catAx>
      <c:valAx>
        <c:axId val="146588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6467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[project2.xlsx]Sheet6!PivotTable2</c:name>
    <c:fmtId val="0"/>
  </c:pivotSource>
  <c:chart>
    <c:autoTitleDeleted val="0"/>
    <c:pivotFmts>
      <c:pivotFmt>
        <c:idx val="0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4931084434117867"/>
          <c:y val="0.31528944298629336"/>
          <c:w val="0.59750154181546977"/>
          <c:h val="0.465874526100903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Sheet6!$B$1:$B$2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strRef>
              <c:f>Sheet6!$A$3:$A$11</c:f>
              <c:strCache>
                <c:ptCount val="8"/>
                <c:pt idx="0">
                  <c:v>ADNAN</c:v>
                </c:pt>
                <c:pt idx="1">
                  <c:v>AFROZ</c:v>
                </c:pt>
                <c:pt idx="2">
                  <c:v>ASLAM</c:v>
                </c:pt>
                <c:pt idx="3">
                  <c:v>ATHAUR</c:v>
                </c:pt>
                <c:pt idx="4">
                  <c:v>AYAN</c:v>
                </c:pt>
                <c:pt idx="5">
                  <c:v>IBRAHIM</c:v>
                </c:pt>
                <c:pt idx="6">
                  <c:v>SUHAIL</c:v>
                </c:pt>
                <c:pt idx="7">
                  <c:v>ZAINUL</c:v>
                </c:pt>
              </c:strCache>
            </c:strRef>
          </c:cat>
          <c:val>
            <c:numRef>
              <c:f>Sheet6!$B$3:$B$11</c:f>
              <c:numCache>
                <c:formatCode>General</c:formatCode>
                <c:ptCount val="8"/>
                <c:pt idx="0">
                  <c:v>87</c:v>
                </c:pt>
                <c:pt idx="2">
                  <c:v>80</c:v>
                </c:pt>
                <c:pt idx="5">
                  <c:v>99</c:v>
                </c:pt>
                <c:pt idx="7">
                  <c:v>89</c:v>
                </c:pt>
              </c:numCache>
            </c:numRef>
          </c:val>
        </c:ser>
        <c:ser>
          <c:idx val="1"/>
          <c:order val="1"/>
          <c:tx>
            <c:strRef>
              <c:f>Sheet6!$C$1:$C$2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strRef>
              <c:f>Sheet6!$A$3:$A$11</c:f>
              <c:strCache>
                <c:ptCount val="8"/>
                <c:pt idx="0">
                  <c:v>ADNAN</c:v>
                </c:pt>
                <c:pt idx="1">
                  <c:v>AFROZ</c:v>
                </c:pt>
                <c:pt idx="2">
                  <c:v>ASLAM</c:v>
                </c:pt>
                <c:pt idx="3">
                  <c:v>ATHAUR</c:v>
                </c:pt>
                <c:pt idx="4">
                  <c:v>AYAN</c:v>
                </c:pt>
                <c:pt idx="5">
                  <c:v>IBRAHIM</c:v>
                </c:pt>
                <c:pt idx="6">
                  <c:v>SUHAIL</c:v>
                </c:pt>
                <c:pt idx="7">
                  <c:v>ZAINUL</c:v>
                </c:pt>
              </c:strCache>
            </c:strRef>
          </c:cat>
          <c:val>
            <c:numRef>
              <c:f>Sheet6!$C$3:$C$11</c:f>
              <c:numCache>
                <c:formatCode>General</c:formatCode>
                <c:ptCount val="8"/>
                <c:pt idx="1">
                  <c:v>82</c:v>
                </c:pt>
                <c:pt idx="3">
                  <c:v>86</c:v>
                </c:pt>
                <c:pt idx="4">
                  <c:v>84</c:v>
                </c:pt>
                <c:pt idx="6">
                  <c:v>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2072704"/>
        <c:axId val="232074240"/>
      </c:barChart>
      <c:catAx>
        <c:axId val="232072704"/>
        <c:scaling>
          <c:orientation val="minMax"/>
        </c:scaling>
        <c:delete val="0"/>
        <c:axPos val="b"/>
        <c:majorTickMark val="out"/>
        <c:minorTickMark val="none"/>
        <c:tickLblPos val="nextTo"/>
        <c:crossAx val="232074240"/>
        <c:crosses val="autoZero"/>
        <c:auto val="1"/>
        <c:lblAlgn val="ctr"/>
        <c:lblOffset val="100"/>
        <c:noMultiLvlLbl val="0"/>
      </c:catAx>
      <c:valAx>
        <c:axId val="23207424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232072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9781420765027322"/>
          <c:y val="3.1307961504811875E-2"/>
          <c:w val="0.19125683060109289"/>
          <c:h val="0.23470071449402158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514350</xdr:colOff>
      <xdr:row>2</xdr:row>
      <xdr:rowOff>57150</xdr:rowOff>
    </xdr:from>
    <xdr:to>
      <xdr:col>13</xdr:col>
      <xdr:colOff>200025</xdr:colOff>
      <xdr:row>16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 10 PRO" refreshedDate="45897.012495370371" createdVersion="4" refreshedVersion="4" minRefreshableVersion="3" recordCount="8">
  <cacheSource type="worksheet">
    <worksheetSource name="Table1"/>
  </cacheSource>
  <cacheFields count="9">
    <cacheField name="S.NO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NAME" numFmtId="0">
      <sharedItems count="8">
        <s v="IBRAHIM"/>
        <s v="SUHAIL"/>
        <s v="ZAINUL"/>
        <s v="ATHAUR"/>
        <s v="ADNAN"/>
        <s v="AYAN"/>
        <s v="ASLAM"/>
        <s v="AFROZ"/>
      </sharedItems>
    </cacheField>
    <cacheField name="GENDER" numFmtId="0">
      <sharedItems count="2">
        <s v="M"/>
        <s v="F"/>
      </sharedItems>
    </cacheField>
    <cacheField name="AGE" numFmtId="0">
      <sharedItems containsSemiMixedTypes="0" containsString="0" containsNumber="1" containsInteger="1" minValue="20" maxValue="25" count="6">
        <n v="21"/>
        <n v="22"/>
        <n v="23"/>
        <n v="24"/>
        <n v="20"/>
        <n v="25"/>
      </sharedItems>
    </cacheField>
    <cacheField name="SECTION" numFmtId="0">
      <sharedItems count="2">
        <s v="A"/>
        <s v="B"/>
      </sharedItems>
    </cacheField>
    <cacheField name="MID 1" numFmtId="0">
      <sharedItems containsSemiMixedTypes="0" containsString="0" containsNumber="1" containsInteger="1" minValue="15" maxValue="29"/>
    </cacheField>
    <cacheField name="MID 2" numFmtId="0">
      <sharedItems containsSemiMixedTypes="0" containsString="0" containsNumber="1" containsInteger="1" minValue="19" maxValue="30"/>
    </cacheField>
    <cacheField name="FINALS" numFmtId="0">
      <sharedItems containsSemiMixedTypes="0" containsString="0" containsNumber="1" containsInteger="1" minValue="80" maxValue="99" count="8">
        <n v="99"/>
        <n v="81"/>
        <n v="89"/>
        <n v="86"/>
        <n v="87"/>
        <n v="84"/>
        <n v="80"/>
        <n v="82"/>
      </sharedItems>
    </cacheField>
    <cacheField name="GMAILS" numFmtId="0">
      <sharedItems count="8">
        <s v="ibrahim@gmial.com"/>
        <s v="suhail@gmial.com"/>
        <s v="zain@gmial.com"/>
        <s v="athaur@gmial.com"/>
        <s v="adnan@gmial.com"/>
        <s v="ayan@gmial.com"/>
        <s v="aslam@gmial.com"/>
        <s v="afroz@gmial.co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x v="0"/>
    <x v="0"/>
    <x v="0"/>
    <x v="0"/>
    <x v="0"/>
    <n v="29"/>
    <n v="30"/>
    <x v="0"/>
    <x v="0"/>
  </r>
  <r>
    <x v="1"/>
    <x v="1"/>
    <x v="1"/>
    <x v="1"/>
    <x v="1"/>
    <n v="20"/>
    <n v="25"/>
    <x v="1"/>
    <x v="1"/>
  </r>
  <r>
    <x v="2"/>
    <x v="2"/>
    <x v="0"/>
    <x v="2"/>
    <x v="0"/>
    <n v="21"/>
    <n v="23"/>
    <x v="2"/>
    <x v="2"/>
  </r>
  <r>
    <x v="3"/>
    <x v="3"/>
    <x v="1"/>
    <x v="1"/>
    <x v="1"/>
    <n v="22"/>
    <n v="24"/>
    <x v="3"/>
    <x v="3"/>
  </r>
  <r>
    <x v="4"/>
    <x v="4"/>
    <x v="0"/>
    <x v="3"/>
    <x v="0"/>
    <n v="25"/>
    <n v="27"/>
    <x v="4"/>
    <x v="4"/>
  </r>
  <r>
    <x v="5"/>
    <x v="5"/>
    <x v="1"/>
    <x v="4"/>
    <x v="1"/>
    <n v="19"/>
    <n v="23"/>
    <x v="5"/>
    <x v="5"/>
  </r>
  <r>
    <x v="6"/>
    <x v="6"/>
    <x v="0"/>
    <x v="5"/>
    <x v="0"/>
    <n v="15"/>
    <n v="21"/>
    <x v="6"/>
    <x v="6"/>
  </r>
  <r>
    <x v="7"/>
    <x v="7"/>
    <x v="1"/>
    <x v="1"/>
    <x v="1"/>
    <n v="24"/>
    <n v="19"/>
    <x v="7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6" firstHeaderRow="1" firstDataRow="1" firstDataCol="1"/>
  <pivotFields count="9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FINAL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>
  <location ref="A3:B5" firstHeaderRow="1" firstDataRow="1" firstDataCol="1"/>
  <pivotFields count="9">
    <pivotField showAll="0"/>
    <pivotField showAll="0">
      <items count="9">
        <item x="4"/>
        <item x="7"/>
        <item x="6"/>
        <item x="3"/>
        <item x="5"/>
        <item x="0"/>
        <item x="1"/>
        <item x="2"/>
        <item t="default"/>
      </items>
    </pivotField>
    <pivotField axis="axisRow" showAll="0" sortType="ascending">
      <items count="3">
        <item x="1"/>
        <item x="0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dataField="1" showAll="0">
      <items count="9">
        <item x="6"/>
        <item x="1"/>
        <item x="7"/>
        <item x="5"/>
        <item x="3"/>
        <item x="4"/>
        <item x="2"/>
        <item x="0"/>
        <item t="default"/>
      </items>
    </pivotField>
    <pivotField showAll="0">
      <items count="9">
        <item x="4"/>
        <item x="7"/>
        <item x="6"/>
        <item x="3"/>
        <item x="5"/>
        <item x="0"/>
        <item x="1"/>
        <item x="2"/>
        <item t="default"/>
      </items>
    </pivotField>
  </pivotFields>
  <rowFields count="1">
    <field x="2"/>
  </rowFields>
  <rowItems count="2">
    <i>
      <x/>
    </i>
    <i>
      <x v="1"/>
    </i>
  </rowItems>
  <colItems count="1">
    <i/>
  </colItems>
  <dataFields count="1">
    <dataField name="Sum of FINALS" fld="7" baseField="2" baseItem="0"/>
  </dataFields>
  <formats count="2">
    <format dxfId="17">
      <pivotArea field="4" type="button" dataOnly="0" labelOnly="1" outline="0"/>
    </format>
    <format dxfId="16">
      <pivotArea field="4" type="button" dataOnly="0" labelOnly="1" outline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1:A2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Sum of FINAL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1:D11" firstHeaderRow="1" firstDataRow="2" firstDataCol="1"/>
  <pivotFields count="9"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9">
        <item x="4"/>
        <item x="7"/>
        <item x="6"/>
        <item x="3"/>
        <item x="5"/>
        <item x="0"/>
        <item x="1"/>
        <item x="2"/>
        <item t="default"/>
      </items>
    </pivotField>
    <pivotField showAll="0"/>
    <pivotField showAll="0">
      <items count="7">
        <item x="4"/>
        <item x="0"/>
        <item x="1"/>
        <item x="2"/>
        <item x="3"/>
        <item x="5"/>
        <item t="default"/>
      </items>
    </pivotField>
    <pivotField axis="axisCol" showAll="0" sortType="ascending">
      <items count="3">
        <item x="0"/>
        <item x="1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FINAL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I5" totalsRowShown="0">
  <autoFilter ref="A1:I5"/>
  <tableColumns count="9">
    <tableColumn id="1" name="S.NO"/>
    <tableColumn id="2" name="NAME"/>
    <tableColumn id="3" name="GENDER"/>
    <tableColumn id="4" name="AGE"/>
    <tableColumn id="5" name="SECTION"/>
    <tableColumn id="6" name="MID 1"/>
    <tableColumn id="7" name="MID 2"/>
    <tableColumn id="8" name="FINALS"/>
    <tableColumn id="9" name="GMAIL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J5" totalsRowShown="0">
  <autoFilter ref="A1:J5"/>
  <tableColumns count="10">
    <tableColumn id="1" name="S.NO"/>
    <tableColumn id="2" name="NAME"/>
    <tableColumn id="3" name="GENDER"/>
    <tableColumn id="4" name="AGE"/>
    <tableColumn id="5" name="SECTION"/>
    <tableColumn id="6" name="MID 1"/>
    <tableColumn id="7" name="MID 2"/>
    <tableColumn id="8" name="FINALS"/>
    <tableColumn id="9" name="GMAILS"/>
    <tableColumn id="10" name="Column1" dataDxfId="18">
      <calculatedColumnFormula>H17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1:I9" totalsRowShown="0" headerRowDxfId="15" dataDxfId="13" headerRowBorderDxfId="14" tableBorderDxfId="12" totalsRowBorderDxfId="11">
  <sortState ref="A2:I9">
    <sortCondition ref="A1:A9"/>
  </sortState>
  <tableColumns count="9">
    <tableColumn id="1" name="S.NO" dataDxfId="10"/>
    <tableColumn id="2" name="NAME" dataDxfId="9"/>
    <tableColumn id="3" name="GENDER" dataDxfId="8"/>
    <tableColumn id="4" name="AGE" dataDxfId="7"/>
    <tableColumn id="5" name="SECTION" dataDxfId="6"/>
    <tableColumn id="6" name="MID 1" dataDxfId="5"/>
    <tableColumn id="7" name="MID 2" dataDxfId="4"/>
    <tableColumn id="8" name="FINALS" dataDxfId="3"/>
    <tableColumn id="9" name="GMAILS" dataDxfId="2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aslam@gmial.com" TargetMode="External"/><Relationship Id="rId3" Type="http://schemas.openxmlformats.org/officeDocument/2006/relationships/hyperlink" Target="mailto:suhail@gmial.com" TargetMode="External"/><Relationship Id="rId7" Type="http://schemas.openxmlformats.org/officeDocument/2006/relationships/hyperlink" Target="mailto:ayan@gmial.com" TargetMode="External"/><Relationship Id="rId12" Type="http://schemas.openxmlformats.org/officeDocument/2006/relationships/comments" Target="../comments1.xml"/><Relationship Id="rId2" Type="http://schemas.openxmlformats.org/officeDocument/2006/relationships/hyperlink" Target="mailto:ibrahim@gmial.com" TargetMode="External"/><Relationship Id="rId1" Type="http://schemas.openxmlformats.org/officeDocument/2006/relationships/hyperlink" Target="mailto:ibrahim@gmial.com" TargetMode="External"/><Relationship Id="rId6" Type="http://schemas.openxmlformats.org/officeDocument/2006/relationships/hyperlink" Target="mailto:adnan@gmial.com" TargetMode="External"/><Relationship Id="rId11" Type="http://schemas.openxmlformats.org/officeDocument/2006/relationships/table" Target="../tables/table3.xml"/><Relationship Id="rId5" Type="http://schemas.openxmlformats.org/officeDocument/2006/relationships/hyperlink" Target="mailto:athaur@gmial.com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mailto:zain@gmial.com" TargetMode="External"/><Relationship Id="rId9" Type="http://schemas.openxmlformats.org/officeDocument/2006/relationships/hyperlink" Target="mailto:afroz@gmi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opLeftCell="A4" zoomScale="160" zoomScaleNormal="160" workbookViewId="0">
      <selection activeCell="B4" sqref="B4"/>
    </sheetView>
  </sheetViews>
  <sheetFormatPr defaultRowHeight="15" x14ac:dyDescent="0.25"/>
  <cols>
    <col min="1" max="1" width="9.140625" style="1"/>
    <col min="2" max="2" width="11.7109375" style="1" bestFit="1" customWidth="1"/>
    <col min="3" max="3" width="11.140625" style="1" bestFit="1" customWidth="1"/>
    <col min="4" max="4" width="15.85546875" style="3" bestFit="1" customWidth="1"/>
    <col min="5" max="5" width="8.28515625" style="1" bestFit="1" customWidth="1"/>
    <col min="6" max="6" width="8.140625" style="1" bestFit="1" customWidth="1"/>
    <col min="7" max="7" width="9.140625" style="1"/>
    <col min="8" max="8" width="10.42578125" style="1" bestFit="1" customWidth="1"/>
    <col min="9" max="9" width="8.85546875" style="1" bestFit="1" customWidth="1"/>
    <col min="10" max="10" width="15.28515625" customWidth="1"/>
  </cols>
  <sheetData>
    <row r="1" spans="1:10" x14ac:dyDescent="0.25">
      <c r="A1" s="32" t="s">
        <v>14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</row>
    <row r="4" spans="1:10" s="2" customFormat="1" x14ac:dyDescent="0.25">
      <c r="A4" s="4" t="s">
        <v>0</v>
      </c>
      <c r="B4" s="33" t="s">
        <v>5</v>
      </c>
      <c r="C4" s="4" t="s">
        <v>4</v>
      </c>
      <c r="D4" s="5" t="s">
        <v>11</v>
      </c>
      <c r="E4" s="4" t="s">
        <v>1</v>
      </c>
      <c r="F4" s="4" t="s">
        <v>2</v>
      </c>
      <c r="G4" s="4" t="s">
        <v>3</v>
      </c>
      <c r="H4" s="4" t="s">
        <v>6</v>
      </c>
      <c r="I4" s="4" t="s">
        <v>7</v>
      </c>
      <c r="J4" s="4" t="s">
        <v>8</v>
      </c>
    </row>
    <row r="5" spans="1:10" x14ac:dyDescent="0.25">
      <c r="A5" s="6">
        <v>1</v>
      </c>
      <c r="B5" s="6" t="s">
        <v>9</v>
      </c>
      <c r="C5" s="6" t="s">
        <v>10</v>
      </c>
      <c r="D5" s="7">
        <v>37165</v>
      </c>
      <c r="E5" s="6">
        <v>3000</v>
      </c>
      <c r="F5" s="6">
        <v>6000</v>
      </c>
      <c r="G5" s="6">
        <v>4500</v>
      </c>
      <c r="H5" s="6">
        <f>SUM(E5,F5,G5)</f>
        <v>13500</v>
      </c>
      <c r="I5" s="6">
        <f>AVERAGE(G5)</f>
        <v>4500</v>
      </c>
      <c r="J5" s="6" t="str">
        <f>CONCATENATE(B5," ",C5)</f>
        <v>SYED IBRAHIM</v>
      </c>
    </row>
    <row r="6" spans="1:10" x14ac:dyDescent="0.25">
      <c r="A6" s="6">
        <v>2</v>
      </c>
      <c r="B6" s="6" t="s">
        <v>9</v>
      </c>
      <c r="C6" s="6" t="s">
        <v>12</v>
      </c>
      <c r="D6" s="7">
        <v>37289</v>
      </c>
      <c r="E6" s="6">
        <v>1000</v>
      </c>
      <c r="F6" s="6">
        <v>2000</v>
      </c>
      <c r="G6" s="6">
        <v>3000</v>
      </c>
      <c r="H6" s="6">
        <f>SUM(E6,F6,G6)</f>
        <v>6000</v>
      </c>
      <c r="I6" s="6">
        <f>AVERAGE(G6)</f>
        <v>3000</v>
      </c>
      <c r="J6" s="6" t="str">
        <f>CONCATENATE(B6," ",C6)</f>
        <v>SYED SUHAIL</v>
      </c>
    </row>
    <row r="7" spans="1:10" x14ac:dyDescent="0.25">
      <c r="A7" s="6">
        <v>3</v>
      </c>
      <c r="B7" s="6" t="s">
        <v>9</v>
      </c>
      <c r="C7" s="6" t="s">
        <v>13</v>
      </c>
      <c r="D7" s="7">
        <v>37683</v>
      </c>
      <c r="E7" s="6">
        <v>500</v>
      </c>
      <c r="F7" s="6">
        <v>850</v>
      </c>
      <c r="G7" s="6">
        <v>1050</v>
      </c>
      <c r="H7" s="6">
        <f>SUM(E7,F7,G7)</f>
        <v>2400</v>
      </c>
      <c r="I7" s="6">
        <f>AVERAGE(G7)</f>
        <v>1050</v>
      </c>
      <c r="J7" s="6" t="str">
        <f>CONCATENATE(B7," ",C7)</f>
        <v>SYED ZAINUL</v>
      </c>
    </row>
    <row r="8" spans="1:10" x14ac:dyDescent="0.25">
      <c r="A8"/>
      <c r="B8"/>
      <c r="C8"/>
      <c r="D8"/>
      <c r="E8"/>
      <c r="F8"/>
      <c r="G8"/>
      <c r="H8"/>
      <c r="I8"/>
    </row>
    <row r="9" spans="1:10" x14ac:dyDescent="0.25">
      <c r="A9"/>
      <c r="B9" s="8"/>
      <c r="C9"/>
      <c r="D9"/>
      <c r="E9"/>
      <c r="F9"/>
      <c r="G9"/>
      <c r="H9"/>
      <c r="I9"/>
    </row>
    <row r="10" spans="1:10" x14ac:dyDescent="0.25">
      <c r="A10"/>
      <c r="B10"/>
      <c r="C10"/>
      <c r="D10"/>
      <c r="E10"/>
      <c r="F10"/>
      <c r="G10"/>
      <c r="H10"/>
      <c r="I10"/>
    </row>
  </sheetData>
  <mergeCells count="1">
    <mergeCell ref="A1:J2"/>
  </mergeCells>
  <conditionalFormatting sqref="J11:J1048576 J4:J7">
    <cfRule type="duplicateValues" dxfId="1" priority="4"/>
  </conditionalFormatting>
  <conditionalFormatting sqref="H4:H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1048576">
    <cfRule type="colorScale" priority="1">
      <colorScale>
        <cfvo type="min"/>
        <cfvo type="max"/>
        <color rgb="FFFF7128"/>
        <color rgb="FFFFEF9C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B4" location="Sheet2!A1" display="FIRST NAM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G24" sqref="G24"/>
    </sheetView>
  </sheetViews>
  <sheetFormatPr defaultRowHeight="15" x14ac:dyDescent="0.25"/>
  <cols>
    <col min="3" max="3" width="10.42578125" customWidth="1"/>
    <col min="5" max="5" width="10.7109375" customWidth="1"/>
    <col min="8" max="8" width="9.28515625" customWidth="1"/>
    <col min="9" max="9" width="10.140625" customWidth="1"/>
  </cols>
  <sheetData>
    <row r="1" spans="1:9" x14ac:dyDescent="0.25">
      <c r="A1" t="s">
        <v>0</v>
      </c>
      <c r="B1" t="s">
        <v>15</v>
      </c>
      <c r="C1" t="s">
        <v>21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22</v>
      </c>
    </row>
    <row r="2" spans="1:9" x14ac:dyDescent="0.25">
      <c r="A2">
        <v>8</v>
      </c>
      <c r="B2" t="s">
        <v>27</v>
      </c>
      <c r="C2" t="s">
        <v>28</v>
      </c>
      <c r="D2">
        <v>22</v>
      </c>
      <c r="E2" t="s">
        <v>31</v>
      </c>
      <c r="F2">
        <v>24</v>
      </c>
      <c r="G2">
        <v>19</v>
      </c>
      <c r="H2">
        <v>82</v>
      </c>
      <c r="I2" t="s">
        <v>39</v>
      </c>
    </row>
    <row r="3" spans="1:9" x14ac:dyDescent="0.25">
      <c r="A3">
        <v>2</v>
      </c>
      <c r="B3" t="s">
        <v>12</v>
      </c>
      <c r="C3" t="s">
        <v>28</v>
      </c>
      <c r="D3">
        <v>22</v>
      </c>
      <c r="E3" t="s">
        <v>31</v>
      </c>
      <c r="F3">
        <v>20</v>
      </c>
      <c r="G3">
        <v>25</v>
      </c>
      <c r="H3">
        <v>81</v>
      </c>
      <c r="I3" t="s">
        <v>33</v>
      </c>
    </row>
    <row r="4" spans="1:9" x14ac:dyDescent="0.25">
      <c r="A4">
        <v>6</v>
      </c>
      <c r="B4" t="s">
        <v>25</v>
      </c>
      <c r="C4" t="s">
        <v>28</v>
      </c>
      <c r="D4">
        <v>20</v>
      </c>
      <c r="E4" t="s">
        <v>31</v>
      </c>
      <c r="F4">
        <v>19</v>
      </c>
      <c r="G4">
        <v>23</v>
      </c>
      <c r="H4">
        <v>84</v>
      </c>
      <c r="I4" t="s">
        <v>37</v>
      </c>
    </row>
    <row r="5" spans="1:9" x14ac:dyDescent="0.25">
      <c r="A5">
        <v>4</v>
      </c>
      <c r="B5" t="s">
        <v>23</v>
      </c>
      <c r="C5" t="s">
        <v>28</v>
      </c>
      <c r="D5">
        <v>22</v>
      </c>
      <c r="E5" t="s">
        <v>31</v>
      </c>
      <c r="F5">
        <v>22</v>
      </c>
      <c r="G5">
        <v>24</v>
      </c>
      <c r="H5">
        <v>86</v>
      </c>
      <c r="I5" t="s">
        <v>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topLeftCell="A2" zoomScale="130" zoomScaleNormal="130" workbookViewId="0">
      <selection activeCell="B4" sqref="B4"/>
    </sheetView>
  </sheetViews>
  <sheetFormatPr defaultRowHeight="15" x14ac:dyDescent="0.25"/>
  <cols>
    <col min="1" max="1" width="13.140625" customWidth="1"/>
    <col min="2" max="2" width="13.85546875" bestFit="1" customWidth="1"/>
  </cols>
  <sheetData>
    <row r="3" spans="1:2" x14ac:dyDescent="0.25">
      <c r="A3" s="28" t="s">
        <v>41</v>
      </c>
      <c r="B3" t="s">
        <v>40</v>
      </c>
    </row>
    <row r="4" spans="1:2" x14ac:dyDescent="0.25">
      <c r="A4" s="29" t="s">
        <v>28</v>
      </c>
      <c r="B4" s="27">
        <v>333</v>
      </c>
    </row>
    <row r="5" spans="1:2" x14ac:dyDescent="0.25">
      <c r="A5" s="29" t="s">
        <v>29</v>
      </c>
      <c r="B5" s="27">
        <v>355</v>
      </c>
    </row>
    <row r="6" spans="1:2" x14ac:dyDescent="0.25">
      <c r="A6" s="29" t="s">
        <v>42</v>
      </c>
      <c r="B6" s="27">
        <v>688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activeCell="G26" sqref="G26"/>
    </sheetView>
  </sheetViews>
  <sheetFormatPr defaultRowHeight="15" x14ac:dyDescent="0.25"/>
  <cols>
    <col min="3" max="3" width="10.42578125" customWidth="1"/>
    <col min="4" max="4" width="19.140625" bestFit="1" customWidth="1"/>
    <col min="5" max="5" width="10.7109375" customWidth="1"/>
    <col min="8" max="8" width="9.28515625" customWidth="1"/>
    <col min="9" max="9" width="19.140625" bestFit="1" customWidth="1"/>
  </cols>
  <sheetData>
    <row r="1" spans="1:10" x14ac:dyDescent="0.25">
      <c r="A1" t="s">
        <v>0</v>
      </c>
      <c r="B1" t="s">
        <v>15</v>
      </c>
      <c r="C1" t="s">
        <v>21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22</v>
      </c>
      <c r="J1" t="s">
        <v>44</v>
      </c>
    </row>
    <row r="2" spans="1:10" x14ac:dyDescent="0.25">
      <c r="A2">
        <v>1</v>
      </c>
      <c r="B2" t="s">
        <v>10</v>
      </c>
      <c r="C2" t="s">
        <v>29</v>
      </c>
      <c r="D2">
        <v>21</v>
      </c>
      <c r="E2" t="s">
        <v>30</v>
      </c>
      <c r="F2">
        <v>29</v>
      </c>
      <c r="G2">
        <v>30</v>
      </c>
      <c r="H2">
        <v>99</v>
      </c>
      <c r="I2" t="s">
        <v>32</v>
      </c>
      <c r="J2">
        <f t="shared" ref="J2:J5" si="0">H17</f>
        <v>0</v>
      </c>
    </row>
    <row r="3" spans="1:10" x14ac:dyDescent="0.25">
      <c r="A3">
        <v>7</v>
      </c>
      <c r="B3" t="s">
        <v>26</v>
      </c>
      <c r="C3" t="s">
        <v>29</v>
      </c>
      <c r="D3">
        <v>25</v>
      </c>
      <c r="E3" t="s">
        <v>30</v>
      </c>
      <c r="F3">
        <v>15</v>
      </c>
      <c r="G3">
        <v>21</v>
      </c>
      <c r="H3">
        <v>80</v>
      </c>
      <c r="I3" t="s">
        <v>38</v>
      </c>
      <c r="J3">
        <f t="shared" si="0"/>
        <v>0</v>
      </c>
    </row>
    <row r="4" spans="1:10" x14ac:dyDescent="0.25">
      <c r="A4">
        <v>3</v>
      </c>
      <c r="B4" t="s">
        <v>13</v>
      </c>
      <c r="C4" t="s">
        <v>29</v>
      </c>
      <c r="D4">
        <v>23</v>
      </c>
      <c r="E4" t="s">
        <v>30</v>
      </c>
      <c r="F4">
        <v>21</v>
      </c>
      <c r="G4">
        <v>23</v>
      </c>
      <c r="H4">
        <v>89</v>
      </c>
      <c r="I4" t="s">
        <v>34</v>
      </c>
      <c r="J4">
        <f t="shared" si="0"/>
        <v>0</v>
      </c>
    </row>
    <row r="5" spans="1:10" x14ac:dyDescent="0.25">
      <c r="A5">
        <v>5</v>
      </c>
      <c r="B5" t="s">
        <v>24</v>
      </c>
      <c r="C5" t="s">
        <v>29</v>
      </c>
      <c r="D5">
        <v>24</v>
      </c>
      <c r="E5" t="s">
        <v>30</v>
      </c>
      <c r="F5">
        <v>25</v>
      </c>
      <c r="G5">
        <v>27</v>
      </c>
      <c r="H5">
        <v>87</v>
      </c>
      <c r="I5" t="s">
        <v>36</v>
      </c>
      <c r="J5">
        <f t="shared" si="0"/>
        <v>0</v>
      </c>
    </row>
    <row r="12" spans="1:10" x14ac:dyDescent="0.25">
      <c r="D12" s="30" t="s">
        <v>45</v>
      </c>
      <c r="E12" t="s">
        <v>46</v>
      </c>
      <c r="I12" s="30" t="s">
        <v>45</v>
      </c>
      <c r="J12" t="s">
        <v>46</v>
      </c>
    </row>
    <row r="13" spans="1:10" x14ac:dyDescent="0.25">
      <c r="D13" s="31" t="s">
        <v>47</v>
      </c>
      <c r="E13" t="s">
        <v>46</v>
      </c>
      <c r="I13" s="31" t="s">
        <v>47</v>
      </c>
      <c r="J13" t="s">
        <v>46</v>
      </c>
    </row>
    <row r="14" spans="1:10" x14ac:dyDescent="0.25">
      <c r="D14" s="30" t="s">
        <v>48</v>
      </c>
      <c r="E14" t="s">
        <v>46</v>
      </c>
      <c r="I14" s="30" t="s">
        <v>48</v>
      </c>
      <c r="J14" t="s">
        <v>46</v>
      </c>
    </row>
    <row r="15" spans="1:10" x14ac:dyDescent="0.25">
      <c r="D15" s="31" t="s">
        <v>49</v>
      </c>
      <c r="E15" t="s">
        <v>46</v>
      </c>
      <c r="I15" s="31" t="s">
        <v>49</v>
      </c>
      <c r="J15" t="s">
        <v>46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"/>
  <sheetViews>
    <sheetView workbookViewId="0">
      <selection activeCell="B5" sqref="B5"/>
    </sheetView>
  </sheetViews>
  <sheetFormatPr defaultRowHeight="15" x14ac:dyDescent="0.25"/>
  <cols>
    <col min="1" max="1" width="13.140625" customWidth="1"/>
    <col min="2" max="2" width="13.85546875" customWidth="1"/>
    <col min="3" max="9" width="3" customWidth="1"/>
  </cols>
  <sheetData>
    <row r="3" spans="1:2" x14ac:dyDescent="0.25">
      <c r="A3" s="28" t="s">
        <v>41</v>
      </c>
      <c r="B3" t="s">
        <v>40</v>
      </c>
    </row>
    <row r="4" spans="1:2" x14ac:dyDescent="0.25">
      <c r="A4" s="29" t="s">
        <v>28</v>
      </c>
      <c r="B4" s="27">
        <v>333</v>
      </c>
    </row>
    <row r="5" spans="1:2" x14ac:dyDescent="0.25">
      <c r="A5" s="29" t="s">
        <v>29</v>
      </c>
      <c r="B5" s="27">
        <v>355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L11" sqref="L11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40</v>
      </c>
    </row>
    <row r="2" spans="1:1" x14ac:dyDescent="0.25">
      <c r="A2" s="27">
        <v>688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G30" sqref="G30"/>
    </sheetView>
  </sheetViews>
  <sheetFormatPr defaultRowHeight="15" x14ac:dyDescent="0.25"/>
  <cols>
    <col min="1" max="1" width="13.85546875" customWidth="1"/>
    <col min="2" max="2" width="16.28515625" customWidth="1"/>
    <col min="3" max="3" width="4" customWidth="1"/>
    <col min="4" max="4" width="11.28515625" customWidth="1"/>
    <col min="5" max="7" width="3" customWidth="1"/>
    <col min="8" max="8" width="11.28515625" bestFit="1" customWidth="1"/>
  </cols>
  <sheetData>
    <row r="1" spans="1:4" x14ac:dyDescent="0.25">
      <c r="A1" s="28" t="s">
        <v>40</v>
      </c>
      <c r="B1" s="28" t="s">
        <v>43</v>
      </c>
    </row>
    <row r="2" spans="1:4" x14ac:dyDescent="0.25">
      <c r="A2" s="28" t="s">
        <v>41</v>
      </c>
      <c r="B2" t="s">
        <v>30</v>
      </c>
      <c r="C2" t="s">
        <v>31</v>
      </c>
      <c r="D2" t="s">
        <v>42</v>
      </c>
    </row>
    <row r="3" spans="1:4" x14ac:dyDescent="0.25">
      <c r="A3" s="29" t="s">
        <v>24</v>
      </c>
      <c r="B3" s="27">
        <v>87</v>
      </c>
      <c r="C3" s="27"/>
      <c r="D3" s="27">
        <v>87</v>
      </c>
    </row>
    <row r="4" spans="1:4" x14ac:dyDescent="0.25">
      <c r="A4" s="29" t="s">
        <v>27</v>
      </c>
      <c r="B4" s="27"/>
      <c r="C4" s="27">
        <v>82</v>
      </c>
      <c r="D4" s="27">
        <v>82</v>
      </c>
    </row>
    <row r="5" spans="1:4" x14ac:dyDescent="0.25">
      <c r="A5" s="29" t="s">
        <v>26</v>
      </c>
      <c r="B5" s="27">
        <v>80</v>
      </c>
      <c r="C5" s="27"/>
      <c r="D5" s="27">
        <v>80</v>
      </c>
    </row>
    <row r="6" spans="1:4" x14ac:dyDescent="0.25">
      <c r="A6" s="29" t="s">
        <v>23</v>
      </c>
      <c r="B6" s="27"/>
      <c r="C6" s="27">
        <v>86</v>
      </c>
      <c r="D6" s="27">
        <v>86</v>
      </c>
    </row>
    <row r="7" spans="1:4" x14ac:dyDescent="0.25">
      <c r="A7" s="29" t="s">
        <v>25</v>
      </c>
      <c r="B7" s="27"/>
      <c r="C7" s="27">
        <v>84</v>
      </c>
      <c r="D7" s="27">
        <v>84</v>
      </c>
    </row>
    <row r="8" spans="1:4" x14ac:dyDescent="0.25">
      <c r="A8" s="29" t="s">
        <v>10</v>
      </c>
      <c r="B8" s="27">
        <v>99</v>
      </c>
      <c r="C8" s="27"/>
      <c r="D8" s="27">
        <v>99</v>
      </c>
    </row>
    <row r="9" spans="1:4" x14ac:dyDescent="0.25">
      <c r="A9" s="29" t="s">
        <v>12</v>
      </c>
      <c r="B9" s="27"/>
      <c r="C9" s="27">
        <v>81</v>
      </c>
      <c r="D9" s="27">
        <v>81</v>
      </c>
    </row>
    <row r="10" spans="1:4" x14ac:dyDescent="0.25">
      <c r="A10" s="29" t="s">
        <v>13</v>
      </c>
      <c r="B10" s="27">
        <v>89</v>
      </c>
      <c r="C10" s="27"/>
      <c r="D10" s="27">
        <v>89</v>
      </c>
    </row>
    <row r="11" spans="1:4" x14ac:dyDescent="0.25">
      <c r="A11" s="29" t="s">
        <v>42</v>
      </c>
      <c r="B11" s="27">
        <v>355</v>
      </c>
      <c r="C11" s="27">
        <v>333</v>
      </c>
      <c r="D11" s="27">
        <v>688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9"/>
  <sheetViews>
    <sheetView zoomScale="160" zoomScaleNormal="160" workbookViewId="0">
      <selection sqref="A1:I9"/>
    </sheetView>
  </sheetViews>
  <sheetFormatPr defaultRowHeight="15" x14ac:dyDescent="0.25"/>
  <cols>
    <col min="1" max="1" width="6.28515625" customWidth="1"/>
    <col min="2" max="2" width="11.140625" bestFit="1" customWidth="1"/>
    <col min="3" max="3" width="11.140625" customWidth="1"/>
    <col min="5" max="5" width="9.28515625" style="1" customWidth="1"/>
    <col min="6" max="6" width="7.140625" style="10" customWidth="1"/>
    <col min="7" max="7" width="7.140625" style="1" customWidth="1"/>
    <col min="8" max="8" width="8" style="1" customWidth="1"/>
    <col min="9" max="9" width="19.140625" style="1" bestFit="1" customWidth="1"/>
  </cols>
  <sheetData>
    <row r="1" spans="1:9" x14ac:dyDescent="0.25">
      <c r="A1" s="20" t="s">
        <v>0</v>
      </c>
      <c r="B1" s="26" t="s">
        <v>15</v>
      </c>
      <c r="C1" s="21" t="s">
        <v>21</v>
      </c>
      <c r="D1" s="22" t="s">
        <v>16</v>
      </c>
      <c r="E1" s="21" t="s">
        <v>17</v>
      </c>
      <c r="F1" s="21" t="s">
        <v>18</v>
      </c>
      <c r="G1" s="22" t="s">
        <v>19</v>
      </c>
      <c r="H1" s="22" t="s">
        <v>20</v>
      </c>
      <c r="I1" s="23" t="s">
        <v>22</v>
      </c>
    </row>
    <row r="2" spans="1:9" x14ac:dyDescent="0.25">
      <c r="A2" s="12">
        <v>1</v>
      </c>
      <c r="B2" s="9" t="s">
        <v>10</v>
      </c>
      <c r="C2" s="9" t="s">
        <v>29</v>
      </c>
      <c r="D2" s="9">
        <v>21</v>
      </c>
      <c r="E2" s="6" t="s">
        <v>30</v>
      </c>
      <c r="F2" s="9">
        <v>29</v>
      </c>
      <c r="G2" s="6">
        <v>30</v>
      </c>
      <c r="H2" s="6">
        <v>99</v>
      </c>
      <c r="I2" s="14" t="s">
        <v>32</v>
      </c>
    </row>
    <row r="3" spans="1:9" x14ac:dyDescent="0.25">
      <c r="A3" s="12">
        <v>2</v>
      </c>
      <c r="B3" s="9" t="s">
        <v>12</v>
      </c>
      <c r="C3" s="9" t="s">
        <v>28</v>
      </c>
      <c r="D3" s="6">
        <v>22</v>
      </c>
      <c r="E3" s="6" t="s">
        <v>31</v>
      </c>
      <c r="F3" s="9">
        <v>20</v>
      </c>
      <c r="G3" s="6">
        <v>25</v>
      </c>
      <c r="H3" s="6">
        <v>81</v>
      </c>
      <c r="I3" s="14" t="s">
        <v>33</v>
      </c>
    </row>
    <row r="4" spans="1:9" x14ac:dyDescent="0.25">
      <c r="A4" s="12">
        <v>3</v>
      </c>
      <c r="B4" s="9" t="s">
        <v>13</v>
      </c>
      <c r="C4" s="9" t="s">
        <v>29</v>
      </c>
      <c r="D4" s="6">
        <v>23</v>
      </c>
      <c r="E4" s="6" t="s">
        <v>30</v>
      </c>
      <c r="F4" s="9">
        <v>21</v>
      </c>
      <c r="G4" s="6">
        <v>23</v>
      </c>
      <c r="H4" s="6">
        <v>89</v>
      </c>
      <c r="I4" s="14" t="s">
        <v>34</v>
      </c>
    </row>
    <row r="5" spans="1:9" x14ac:dyDescent="0.25">
      <c r="A5" s="12">
        <v>4</v>
      </c>
      <c r="B5" s="11" t="s">
        <v>23</v>
      </c>
      <c r="C5" s="11" t="s">
        <v>28</v>
      </c>
      <c r="D5" s="6">
        <v>22</v>
      </c>
      <c r="E5" s="6" t="s">
        <v>31</v>
      </c>
      <c r="F5" s="9">
        <v>22</v>
      </c>
      <c r="G5" s="6">
        <v>24</v>
      </c>
      <c r="H5" s="6">
        <v>86</v>
      </c>
      <c r="I5" s="14" t="s">
        <v>35</v>
      </c>
    </row>
    <row r="6" spans="1:9" x14ac:dyDescent="0.25">
      <c r="A6" s="12">
        <v>5</v>
      </c>
      <c r="B6" s="11" t="s">
        <v>24</v>
      </c>
      <c r="C6" s="11" t="s">
        <v>29</v>
      </c>
      <c r="D6" s="6">
        <v>24</v>
      </c>
      <c r="E6" s="6" t="s">
        <v>30</v>
      </c>
      <c r="F6" s="9">
        <v>25</v>
      </c>
      <c r="G6" s="6">
        <v>27</v>
      </c>
      <c r="H6" s="6">
        <v>87</v>
      </c>
      <c r="I6" s="14" t="s">
        <v>36</v>
      </c>
    </row>
    <row r="7" spans="1:9" x14ac:dyDescent="0.25">
      <c r="A7" s="12">
        <v>6</v>
      </c>
      <c r="B7" s="11" t="s">
        <v>25</v>
      </c>
      <c r="C7" s="11" t="s">
        <v>28</v>
      </c>
      <c r="D7" s="6">
        <v>20</v>
      </c>
      <c r="E7" s="6" t="s">
        <v>31</v>
      </c>
      <c r="F7" s="9">
        <v>19</v>
      </c>
      <c r="G7" s="6">
        <v>23</v>
      </c>
      <c r="H7" s="6">
        <v>84</v>
      </c>
      <c r="I7" s="14" t="s">
        <v>37</v>
      </c>
    </row>
    <row r="8" spans="1:9" x14ac:dyDescent="0.25">
      <c r="A8" s="13">
        <v>7</v>
      </c>
      <c r="B8" s="11" t="s">
        <v>26</v>
      </c>
      <c r="C8" s="11" t="s">
        <v>29</v>
      </c>
      <c r="D8" s="6">
        <v>25</v>
      </c>
      <c r="E8" s="6" t="s">
        <v>30</v>
      </c>
      <c r="F8" s="9">
        <v>15</v>
      </c>
      <c r="G8" s="6">
        <v>21</v>
      </c>
      <c r="H8" s="6">
        <v>80</v>
      </c>
      <c r="I8" s="14" t="s">
        <v>38</v>
      </c>
    </row>
    <row r="9" spans="1:9" x14ac:dyDescent="0.25">
      <c r="A9" s="15">
        <v>8</v>
      </c>
      <c r="B9" s="16" t="s">
        <v>27</v>
      </c>
      <c r="C9" s="16" t="s">
        <v>28</v>
      </c>
      <c r="D9" s="17">
        <v>22</v>
      </c>
      <c r="E9" s="17" t="s">
        <v>31</v>
      </c>
      <c r="F9" s="18">
        <v>24</v>
      </c>
      <c r="G9" s="17">
        <v>19</v>
      </c>
      <c r="H9" s="17">
        <v>82</v>
      </c>
      <c r="I9" s="19" t="s">
        <v>39</v>
      </c>
    </row>
  </sheetData>
  <conditionalFormatting sqref="D2">
    <cfRule type="duplicateValues" dxfId="0" priority="4"/>
  </conditionalFormatting>
  <hyperlinks>
    <hyperlink ref="I2" r:id="rId1"/>
    <hyperlink ref="I3:I9" r:id="rId2" display="ibrahim@gmial.com"/>
    <hyperlink ref="I3" r:id="rId3"/>
    <hyperlink ref="I4" r:id="rId4"/>
    <hyperlink ref="I5" r:id="rId5"/>
    <hyperlink ref="I6" r:id="rId6"/>
    <hyperlink ref="I7" r:id="rId7"/>
    <hyperlink ref="I8" r:id="rId8"/>
    <hyperlink ref="I9" r:id="rId9"/>
    <hyperlink ref="B1" location="names!A1" display="NAME"/>
  </hyperlinks>
  <pageMargins left="0.7" right="0.7" top="0.75" bottom="0.75" header="0.3" footer="0.3"/>
  <legacyDrawing r:id="rId10"/>
  <tableParts count="1">
    <tablePart r:id="rId1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zoomScale="208" zoomScaleNormal="208" workbookViewId="0"/>
  </sheetViews>
  <sheetFormatPr defaultRowHeight="15" x14ac:dyDescent="0.25"/>
  <sheetData>
    <row r="1" spans="1:1" x14ac:dyDescent="0.25">
      <c r="A1" s="24" t="s">
        <v>10</v>
      </c>
    </row>
    <row r="2" spans="1:1" x14ac:dyDescent="0.25">
      <c r="A2" s="25" t="s">
        <v>12</v>
      </c>
    </row>
    <row r="3" spans="1:1" x14ac:dyDescent="0.25">
      <c r="A3" s="24" t="s">
        <v>13</v>
      </c>
    </row>
    <row r="4" spans="1:1" x14ac:dyDescent="0.25">
      <c r="A4" s="25" t="s">
        <v>23</v>
      </c>
    </row>
    <row r="5" spans="1:1" x14ac:dyDescent="0.25">
      <c r="A5" s="24" t="s">
        <v>24</v>
      </c>
    </row>
    <row r="6" spans="1:1" x14ac:dyDescent="0.25">
      <c r="A6" s="25" t="s">
        <v>25</v>
      </c>
    </row>
    <row r="7" spans="1:1" x14ac:dyDescent="0.25">
      <c r="A7" s="24" t="s">
        <v>26</v>
      </c>
    </row>
    <row r="8" spans="1:1" x14ac:dyDescent="0.25">
      <c r="A8" s="2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project1</vt:lpstr>
      <vt:lpstr>Sheet2</vt:lpstr>
      <vt:lpstr>Sheet1</vt:lpstr>
      <vt:lpstr>Sheet4</vt:lpstr>
      <vt:lpstr>Sheet3</vt:lpstr>
      <vt:lpstr>Sheet5</vt:lpstr>
      <vt:lpstr>Sheet6</vt:lpstr>
      <vt:lpstr>project2</vt:lpstr>
      <vt:lpstr>names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 PRO</dc:creator>
  <cp:lastModifiedBy>WIN 10 PRO</cp:lastModifiedBy>
  <dcterms:created xsi:type="dcterms:W3CDTF">2025-08-27T06:51:56Z</dcterms:created>
  <dcterms:modified xsi:type="dcterms:W3CDTF">2025-09-01T17:03:57Z</dcterms:modified>
</cp:coreProperties>
</file>